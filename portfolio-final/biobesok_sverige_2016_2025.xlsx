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06a30b206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besök" sheetId="1" r:id="R76de477d7a5741d5"/>
  </x:sheets>
</x:workbook>
</file>

<file path=xl/comments1.xml><?xml version="1.0" encoding="utf-8"?>
<x:comments xmlns:x="http://schemas.openxmlformats.org/spreadsheetml/2006/main">
  <x:authors>
    <x:author/>
  </x:authors>
  <x:commentList>
    <x:comment ref="A5" authorId="0">
      <x:text>
        <x:r>
          <x:t>Källa: https://www.filminstitutet.se/globalassets/2.-fa-kunskap-om-film/analys-och-statistik/publikationer/filmaret-i-siffror/filmaret-i-siffror-2025.pdf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%"/>
    <x:numFmt numFmtId="202" formatCode="0.00"/>
  </x:numFmts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18332C"/>
      <x:name val="Arial"/>
    </x:font>
    <x:font>
      <x:i/>
      <x:sz val="10"/>
      <x:color rgb="FF4B5563"/>
      <x:name val="Arial"/>
    </x:font>
    <x:font>
      <x:i/>
      <x:sz val="9"/>
      <x:color rgb="FF4B5563"/>
      <x:name val="Arial"/>
    </x:font>
    <x:font>
      <x:b/>
      <x:sz val="10"/>
      <x:color rgb="FFFFFFFF"/>
      <x:name val="Arial"/>
    </x:font>
    <x:font>
      <x:b/>
      <x:sz val="10"/>
      <x:color rgb="FF18332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F0F5F2"/>
      </x:patternFill>
    </x:fill>
  </x:fills>
  <x:borders count="8">
    <x:border/>
    <x:border>
      <x:bottom style="medium">
        <x:color rgb="FF2F5D50"/>
      </x:bottom>
    </x:border>
    <x:border>
      <x:left style="thin">
        <x:color rgb="FF2F5D50"/>
      </x:left>
      <x:top style="thin">
        <x:color rgb="FF2F5D50"/>
      </x:top>
      <x:bottom style="thin">
        <x:color rgb="FF2F5D50"/>
      </x:bottom>
    </x:border>
    <x:border>
      <x:top style="thin">
        <x:color rgb="FF2F5D50"/>
      </x:top>
      <x:bottom style="thin">
        <x:color rgb="FF2F5D50"/>
      </x:bottom>
    </x:border>
    <x:border>
      <x:right style="thin">
        <x:color rgb="FF2F5D50"/>
      </x:right>
      <x:top style="thin">
        <x:color rgb="FF2F5D50"/>
      </x:top>
      <x:bottom style="thin">
        <x:color rgb="FF2F5D50"/>
      </x:bottom>
    </x:border>
    <x:border>
      <x:bottom style="thin">
        <x:color rgb="FFD9E2DE"/>
      </x:bottom>
    </x:border>
    <x:border>
      <x:top style="thin">
        <x:color rgb="FFD9E2DE"/>
      </x:top>
      <x:bottom style="thin">
        <x:color rgb="FFD9E2DE"/>
      </x:bottom>
    </x:border>
    <x:border>
      <x:top style="thin">
        <x:color rgb="FFD9E2DE"/>
      </x:top>
      <x:bottom style="thin">
        <x:color rgb="FFAABBB4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6b84b8c8247d8" /><Relationship Type="http://schemas.openxmlformats.org/officeDocument/2006/relationships/theme" Target="/xl/theme/theme1.xml" Id="R77d5ee3c03e04cfb" /><Relationship Type="http://schemas.openxmlformats.org/officeDocument/2006/relationships/sharedStrings" Target="/xl/sharedStrings.xml" Id="R7b9ab4bb52294835" /><Relationship Type="http://schemas.openxmlformats.org/officeDocument/2006/relationships/worksheet" Target="/xl/worksheets/sheet1.xml" Id="R76de477d7a5741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2143c12dc64d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Antal biobesök per år (miljoner)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Biobesök (miljoner)</c:v>
          </c:tx>
          <c:spPr>
            <a:ln xmlns:a="http://schemas.openxmlformats.org/drawingml/2006/main" w="28575">
              <a:solidFill>
                <a:srgbClr val="2F5D50"/>
              </a:solidFill>
              <a:prstDash val="solid"/>
            </a:ln>
          </c:spPr>
          <c:marker>
            <c:symbol val="none"/>
          </c:marker>
          <c:cat>
            <c:strRef>
              <c:f>'Biobesök'!$A$9:$A$18</c:f>
              <c:strCache>
                <c:ptCount val="0"/>
              </c:strCache>
            </c:strRef>
          </c:cat>
          <c:val>
            <c:numRef>
              <c:f>'Biobesök'!$B$9:$B$18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År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Miljoner besök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  <c:majorUnit val="5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2143c12dc64d4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2d442a926af43f1" /><Relationship Type="http://schemas.openxmlformats.org/officeDocument/2006/relationships/vmlDrawing" Target="/xl/drawings/vmldrawing.vml" Id="R4e0c68dcde44424d" /><Relationship Type="http://schemas.openxmlformats.org/officeDocument/2006/relationships/drawing" Target="/xl/drawings/drawing1.xml" Id="R000c90fe4bc540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9" hidden="0" customWidth="1"/>
    <x:col min="4" max="4" width="3" hidden="0" customWidth="1"/>
    <x:col min="5" max="5" width="36" hidden="0" customWidth="1"/>
    <x:col min="6" max="6" width="14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4" t="str">
        <x:v>Biobesök i Sverige 2016–2025</x:v>
      </x:c>
      <x:c r="B2" s="3"/>
      <x:c r="C2" s="3"/>
      <x:c r="D2" s="3"/>
      <x:c r="E2" s="10" t="str">
        <x:v>Nyckeltal</x:v>
      </x:c>
      <x:c r="F2" s="12" t="str">
        <x:v>Resultat</x:v>
      </x:c>
      <x:c r="G2" s="3"/>
      <x:c r="H2" s="3"/>
      <x:c r="I2" s="3"/>
      <x:c r="J2" s="3"/>
      <x:c r="K2" s="3"/>
      <x:c r="L2" s="3"/>
      <x:c r="M2" s="3"/>
    </x:row>
    <x:row r="3" ht="24" customHeight="1">
      <x:c r="A3" s="5" t="str">
        <x:v>Årsdata i miljoner besök. 2025 är senaste kompletta helåret; 2026 är därför exkluderat.</x:v>
      </x:c>
      <x:c r="B3" s="2"/>
      <x:c r="C3" s="2"/>
      <x:c r="D3" s="2"/>
      <x:c r="E3" s="19" t="str">
        <x:v>Pearson-korrelation: år och besök</x:v>
      </x:c>
      <x:c r="F3" s="33" t="n">
        <x:f>CORREL(A9:A18,B9:B18)</x:f>
        <x:v>-0.6602896525356211</x:v>
      </x:c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0" t="str">
        <x:v>Förändring 2016–2025</x:v>
      </x:c>
      <x:c r="F4" s="34" t="n">
        <x:f>B18/B9-1</x:f>
        <x:v>-0.449438202247191</x:v>
      </x:c>
      <x:c r="G4" s="2"/>
      <x:c r="H4" s="2"/>
      <x:c r="I4" s="2"/>
      <x:c r="J4" s="2"/>
      <x:c r="K4" s="2"/>
      <x:c r="L4" s="2"/>
      <x:c r="M4" s="2"/>
    </x:row>
    <x:row r="5">
      <x:c r="A5" s="6" t="str">
        <x:v>Källa: Svenska Filminstitutet, Filmåret i siffror 2025</x:v>
      </x:c>
      <x:c r="B5" s="2"/>
      <x:c r="C5" s="2"/>
      <x:c r="D5" s="2"/>
      <x:c r="E5" s="20" t="str">
        <x:v>Genomsnitt 2016–2019</x:v>
      </x:c>
      <x:c r="F5" s="35" t="n">
        <x:f>AVERAGE(B9:B12)</x:f>
        <x:v>16.75</x:v>
      </x:c>
      <x:c r="G5" s="2"/>
      <x:c r="H5" s="2"/>
      <x:c r="I5" s="2"/>
      <x:c r="J5" s="2"/>
      <x:c r="K5" s="2"/>
      <x:c r="L5" s="2"/>
      <x:c r="M5" s="2"/>
    </x:row>
    <x:row r="6">
      <x:c r="A6" s="2"/>
      <x:c r="B6" s="2"/>
      <x:c r="C6" s="2"/>
      <x:c r="D6" s="2"/>
      <x:c r="E6" s="20" t="str">
        <x:v>Genomsnitt 2022–2025</x:v>
      </x:c>
      <x:c r="F6" s="35" t="n">
        <x:f>AVERAGE(B15:B18)</x:f>
        <x:v>10.425</x:v>
      </x:c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2"/>
      <x:c r="E7" s="21" t="str">
        <x:v>Skillnad mellan periodernas genomsnitt</x:v>
      </x:c>
      <x:c r="F7" s="36" t="n">
        <x:f>F6/F5-1</x:f>
        <x:v>-0.3776119402985074</x:v>
      </x:c>
      <x:c r="G7" s="2"/>
      <x:c r="H7" s="2"/>
      <x:c r="I7" s="2"/>
      <x:c r="J7" s="2"/>
      <x:c r="K7" s="2"/>
      <x:c r="L7" s="2"/>
      <x:c r="M7" s="2"/>
    </x:row>
    <x:row r="8" ht="22" customHeight="1">
      <x:c r="A8" s="10" t="str">
        <x:v>År</x:v>
      </x:c>
      <x:c r="B8" s="11" t="str">
        <x:v>Biobesök (miljoner)</x:v>
      </x:c>
      <x:c r="C8" s="12" t="str">
        <x:v>Förändring från föregående år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2" customHeight="1">
      <x:c r="A9" s="25" t="n">
        <x:v>2016</x:v>
      </x:c>
      <x:c r="B9" s="28" t="n">
        <x:v>17.8</x:v>
      </x:c>
      <x:c r="C9" s="16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2" customHeight="1">
      <x:c r="A10" s="26" t="n">
        <x:v>2017</x:v>
      </x:c>
      <x:c r="B10" s="29" t="n">
        <x:v>16.9</x:v>
      </x:c>
      <x:c r="C10" s="31" t="n">
        <x:f>B10/B9-1</x:f>
        <x:v>-0.05056179775280911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2" customHeight="1">
      <x:c r="A11" s="26" t="n">
        <x:v>2018</x:v>
      </x:c>
      <x:c r="B11" s="29" t="n">
        <x:v>16.4</x:v>
      </x:c>
      <x:c r="C11" s="31" t="n">
        <x:f>B11/B10-1</x:f>
        <x:v>-0.029585798816568087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2" customHeight="1">
      <x:c r="A12" s="26" t="n">
        <x:v>2019</x:v>
      </x:c>
      <x:c r="B12" s="29" t="n">
        <x:v>15.9</x:v>
      </x:c>
      <x:c r="C12" s="31" t="n">
        <x:f>B12/B11-1</x:f>
        <x:v>-0.030487804878048697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2" customHeight="1">
      <x:c r="A13" s="26" t="n">
        <x:v>2020</x:v>
      </x:c>
      <x:c r="B13" s="29" t="n">
        <x:v>5.7</x:v>
      </x:c>
      <x:c r="C13" s="31" t="n">
        <x:f>B13/B12-1</x:f>
        <x:v>-0.6415094339622642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2" customHeight="1">
      <x:c r="A14" s="26" t="n">
        <x:v>2021</x:v>
      </x:c>
      <x:c r="B14" s="29" t="n">
        <x:v>6</x:v>
      </x:c>
      <x:c r="C14" s="31" t="n">
        <x:f>B14/B13-1</x:f>
        <x:v>0.05263157894736836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2" customHeight="1">
      <x:c r="A15" s="26" t="n">
        <x:v>2022</x:v>
      </x:c>
      <x:c r="B15" s="29" t="n">
        <x:v>10.4</x:v>
      </x:c>
      <x:c r="C15" s="31" t="n">
        <x:f>B15/B14-1</x:f>
        <x:v>0.7333333333333334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2" customHeight="1">
      <x:c r="A16" s="26" t="n">
        <x:v>2023</x:v>
      </x:c>
      <x:c r="B16" s="29" t="n">
        <x:v>11.2</x:v>
      </x:c>
      <x:c r="C16" s="31" t="n">
        <x:f>B16/B15-1</x:f>
        <x:v>0.07692307692307687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2" customHeight="1">
      <x:c r="A17" s="26" t="n">
        <x:v>2024</x:v>
      </x:c>
      <x:c r="B17" s="29" t="n">
        <x:v>10.3</x:v>
      </x:c>
      <x:c r="C17" s="31" t="n">
        <x:f>B17/B16-1</x:f>
        <x:v>-0.08035714285714268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2" customHeight="1">
      <x:c r="A18" s="27" t="n">
        <x:v>2025</x:v>
      </x:c>
      <x:c r="B18" s="30" t="n">
        <x:v>9.8</x:v>
      </x:c>
      <x:c r="C18" s="32" t="n">
        <x:f>B18/B17-1</x:f>
        <x:v>-0.04854368932038833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</x:sheetData>
  <x:pageMargins left="0.7" right="0.7" top="0.75" bottom="0.75" header="0.3" footer="0.3"/>
  <x:drawing xmlns:r="http://schemas.openxmlformats.org/officeDocument/2006/relationships" r:id="R000c90fe4bc540ac"/>
  <x:legacyDrawing xmlns:r="http://schemas.openxmlformats.org/officeDocument/2006/relationships" r:id="R4e0c68dcde44424d"/>
</x:worksheet>
</file>